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eseokang/"/>
    </mc:Choice>
  </mc:AlternateContent>
  <xr:revisionPtr revIDLastSave="0" documentId="8_{A323B235-CCF5-194A-B466-17E38525D882}" xr6:coauthVersionLast="47" xr6:coauthVersionMax="47" xr10:uidLastSave="{00000000-0000-0000-0000-000000000000}"/>
  <bookViews>
    <workbookView xWindow="10500" yWindow="2780" windowWidth="16380" windowHeight="11640" tabRatio="500" xr2:uid="{00000000-000D-0000-FFFF-FFFF00000000}"/>
  </bookViews>
  <sheets>
    <sheet name="연도별성별HIV감염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5" i="1" l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<sst xmlns="http://schemas.openxmlformats.org/spreadsheetml/2006/main" count="16" uniqueCount="11">
  <si>
    <r>
      <rPr>
        <b/>
        <sz val="13"/>
        <rFont val="Arial"/>
        <family val="2"/>
      </rPr>
      <t>[</t>
    </r>
    <r>
      <rPr>
        <b/>
        <sz val="13"/>
        <rFont val="Noto Sans CJK SC"/>
        <family val="2"/>
      </rPr>
      <t xml:space="preserve">표 </t>
    </r>
    <r>
      <rPr>
        <b/>
        <sz val="13"/>
        <rFont val="Arial"/>
        <family val="2"/>
      </rPr>
      <t xml:space="preserve">2] </t>
    </r>
    <r>
      <rPr>
        <b/>
        <sz val="13"/>
        <rFont val="Noto Sans CJK SC"/>
        <family val="2"/>
      </rPr>
      <t xml:space="preserve">연도별 성별 </t>
    </r>
    <r>
      <rPr>
        <b/>
        <sz val="13"/>
        <rFont val="Arial"/>
        <family val="2"/>
      </rPr>
      <t xml:space="preserve">HIV </t>
    </r>
    <r>
      <rPr>
        <b/>
        <sz val="13"/>
        <rFont val="Noto Sans CJK SC"/>
        <family val="2"/>
      </rPr>
      <t>감염인 신고 현황</t>
    </r>
    <r>
      <rPr>
        <b/>
        <sz val="13"/>
        <rFont val="Arial"/>
        <family val="2"/>
      </rPr>
      <t>, 1985-2025  (</t>
    </r>
    <r>
      <rPr>
        <b/>
        <sz val="13"/>
        <rFont val="Noto Sans CJK SC"/>
        <family val="2"/>
      </rPr>
      <t>단위</t>
    </r>
    <r>
      <rPr>
        <b/>
        <sz val="13"/>
        <rFont val="Arial"/>
        <family val="2"/>
      </rPr>
      <t xml:space="preserve">: </t>
    </r>
    <r>
      <rPr>
        <b/>
        <sz val="13"/>
        <rFont val="Noto Sans CJK SC"/>
        <family val="2"/>
      </rPr>
      <t>명</t>
    </r>
    <r>
      <rPr>
        <b/>
        <sz val="13"/>
        <rFont val="Arial"/>
        <family val="2"/>
      </rPr>
      <t>)</t>
    </r>
  </si>
  <si>
    <t>연도</t>
  </si>
  <si>
    <t>전체</t>
  </si>
  <si>
    <t>내국인</t>
  </si>
  <si>
    <t>외국인</t>
  </si>
  <si>
    <t>검증</t>
  </si>
  <si>
    <t>계</t>
  </si>
  <si>
    <t>남자</t>
  </si>
  <si>
    <t>여자</t>
  </si>
  <si>
    <t>소계</t>
  </si>
  <si>
    <r>
      <rPr>
        <i/>
        <sz val="9"/>
        <rFont val="Noto Sans CJK SC"/>
        <family val="2"/>
      </rPr>
      <t>주</t>
    </r>
    <r>
      <rPr>
        <i/>
        <sz val="9"/>
        <rFont val="Arial"/>
        <family val="2"/>
      </rPr>
      <t xml:space="preserve">: </t>
    </r>
    <r>
      <rPr>
        <i/>
        <sz val="9"/>
        <rFont val="Noto Sans CJK SC"/>
        <family val="2"/>
      </rPr>
      <t>사용자 제공 표</t>
    </r>
    <r>
      <rPr>
        <i/>
        <sz val="9"/>
        <rFont val="Arial"/>
        <family val="2"/>
      </rPr>
      <t>(</t>
    </r>
    <r>
      <rPr>
        <i/>
        <sz val="9"/>
        <rFont val="Noto Sans CJK SC"/>
        <family val="2"/>
      </rPr>
      <t xml:space="preserve">질병관리청 감염병연보 등 국내 </t>
    </r>
    <r>
      <rPr>
        <i/>
        <sz val="9"/>
        <rFont val="Arial"/>
        <family val="2"/>
      </rPr>
      <t xml:space="preserve">HIV/AIDS </t>
    </r>
    <r>
      <rPr>
        <i/>
        <sz val="9"/>
        <rFont val="Noto Sans CJK SC"/>
        <family val="2"/>
      </rPr>
      <t>신고 통계</t>
    </r>
    <r>
      <rPr>
        <i/>
        <sz val="9"/>
        <rFont val="Arial"/>
        <family val="2"/>
      </rPr>
      <t>)</t>
    </r>
    <r>
      <rPr>
        <i/>
        <sz val="9"/>
        <rFont val="Noto Sans CJK SC"/>
        <family val="2"/>
      </rPr>
      <t>를 그대로 전산화한 자료임</t>
    </r>
    <r>
      <rPr>
        <i/>
        <sz val="9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</si>
</sst>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3"/>
      <name val="Noto Sans CJK SC"/>
      <family val="2"/>
    </font>
    <font>
      <b/>
      <sz val="10"/>
      <name val="Noto Sans CJK SC"/>
      <family val="2"/>
    </font>
    <font>
      <sz val="10"/>
      <name val="Arial"/>
      <family val="2"/>
    </font>
    <font>
      <i/>
      <sz val="9"/>
      <name val="Noto Sans CJK SC"/>
      <family val="2"/>
    </font>
    <font>
      <i/>
      <sz val="9"/>
      <name val="Arial"/>
      <family val="2"/>
    </font>
    <font>
      <sz val="8"/>
      <name val="굴림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baseColWidth="10" defaultColWidth="8.6640625" defaultRowHeight="15"/>
  <cols>
    <col min="1" max="1" width="8" customWidth="1"/>
    <col min="2" max="10" width="9" customWidth="1"/>
    <col min="11" max="11" width="10" customWidth="1"/>
  </cols>
  <sheetData>
    <row r="1" spans="1:11" ht="1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1">
      <c r="A3" s="5" t="s">
        <v>1</v>
      </c>
      <c r="B3" s="4" t="s">
        <v>2</v>
      </c>
      <c r="C3" s="4"/>
      <c r="D3" s="4"/>
      <c r="E3" s="3" t="s">
        <v>3</v>
      </c>
      <c r="F3" s="3"/>
      <c r="G3" s="3"/>
      <c r="H3" s="2" t="s">
        <v>4</v>
      </c>
      <c r="I3" s="2"/>
      <c r="J3" s="2"/>
      <c r="K3" s="1" t="s">
        <v>5</v>
      </c>
    </row>
    <row r="4" spans="1:11">
      <c r="A4" s="5"/>
      <c r="B4" s="7" t="s">
        <v>6</v>
      </c>
      <c r="C4" s="7" t="s">
        <v>7</v>
      </c>
      <c r="D4" s="7" t="s">
        <v>8</v>
      </c>
      <c r="E4" s="8" t="s">
        <v>9</v>
      </c>
      <c r="F4" s="8" t="s">
        <v>7</v>
      </c>
      <c r="G4" s="8" t="s">
        <v>8</v>
      </c>
      <c r="H4" s="9" t="s">
        <v>9</v>
      </c>
      <c r="I4" s="9" t="s">
        <v>7</v>
      </c>
      <c r="J4" s="9" t="s">
        <v>8</v>
      </c>
      <c r="K4" s="1"/>
    </row>
    <row r="5" spans="1:11">
      <c r="A5" s="10">
        <v>1985</v>
      </c>
      <c r="B5" s="11">
        <v>2</v>
      </c>
      <c r="C5" s="11">
        <v>2</v>
      </c>
      <c r="D5" s="11">
        <v>0</v>
      </c>
      <c r="E5" s="11">
        <v>1</v>
      </c>
      <c r="F5" s="11">
        <v>1</v>
      </c>
      <c r="G5" s="11">
        <v>0</v>
      </c>
      <c r="H5" s="11">
        <v>1</v>
      </c>
      <c r="I5" s="11">
        <v>1</v>
      </c>
      <c r="J5" s="11">
        <v>0</v>
      </c>
      <c r="K5" s="12" t="str">
        <f t="shared" ref="K5:K45" si="0">IF(B5=E5+H5,"OK","확인필요")</f>
        <v>OK</v>
      </c>
    </row>
    <row r="6" spans="1:11">
      <c r="A6" s="10">
        <v>1986</v>
      </c>
      <c r="B6" s="11">
        <v>3</v>
      </c>
      <c r="C6" s="11">
        <v>0</v>
      </c>
      <c r="D6" s="11">
        <v>3</v>
      </c>
      <c r="E6" s="11">
        <v>3</v>
      </c>
      <c r="F6" s="11">
        <v>0</v>
      </c>
      <c r="G6" s="11">
        <v>3</v>
      </c>
      <c r="H6" s="11">
        <v>0</v>
      </c>
      <c r="I6" s="11">
        <v>0</v>
      </c>
      <c r="J6" s="11">
        <v>0</v>
      </c>
      <c r="K6" s="12" t="str">
        <f t="shared" si="0"/>
        <v>OK</v>
      </c>
    </row>
    <row r="7" spans="1:11">
      <c r="A7" s="10">
        <v>1987</v>
      </c>
      <c r="B7" s="11">
        <v>9</v>
      </c>
      <c r="C7" s="11">
        <v>4</v>
      </c>
      <c r="D7" s="11">
        <v>5</v>
      </c>
      <c r="E7" s="11">
        <v>9</v>
      </c>
      <c r="F7" s="11">
        <v>4</v>
      </c>
      <c r="G7" s="11">
        <v>5</v>
      </c>
      <c r="H7" s="11">
        <v>0</v>
      </c>
      <c r="I7" s="11">
        <v>0</v>
      </c>
      <c r="J7" s="11">
        <v>0</v>
      </c>
      <c r="K7" s="12" t="str">
        <f t="shared" si="0"/>
        <v>OK</v>
      </c>
    </row>
    <row r="8" spans="1:11">
      <c r="A8" s="10">
        <v>1988</v>
      </c>
      <c r="B8" s="11">
        <v>23</v>
      </c>
      <c r="C8" s="11">
        <v>18</v>
      </c>
      <c r="D8" s="11">
        <v>5</v>
      </c>
      <c r="E8" s="11">
        <v>22</v>
      </c>
      <c r="F8" s="11">
        <v>17</v>
      </c>
      <c r="G8" s="11">
        <v>5</v>
      </c>
      <c r="H8" s="11">
        <v>1</v>
      </c>
      <c r="I8" s="11">
        <v>1</v>
      </c>
      <c r="J8" s="11">
        <v>0</v>
      </c>
      <c r="K8" s="12" t="str">
        <f t="shared" si="0"/>
        <v>OK</v>
      </c>
    </row>
    <row r="9" spans="1:11">
      <c r="A9" s="10">
        <v>1989</v>
      </c>
      <c r="B9" s="11">
        <v>40</v>
      </c>
      <c r="C9" s="11">
        <v>38</v>
      </c>
      <c r="D9" s="11">
        <v>2</v>
      </c>
      <c r="E9" s="11">
        <v>37</v>
      </c>
      <c r="F9" s="11">
        <v>35</v>
      </c>
      <c r="G9" s="11">
        <v>2</v>
      </c>
      <c r="H9" s="11">
        <v>3</v>
      </c>
      <c r="I9" s="11">
        <v>3</v>
      </c>
      <c r="J9" s="11">
        <v>0</v>
      </c>
      <c r="K9" s="12" t="str">
        <f t="shared" si="0"/>
        <v>OK</v>
      </c>
    </row>
    <row r="10" spans="1:11">
      <c r="A10" s="10">
        <v>1990</v>
      </c>
      <c r="B10" s="11">
        <v>54</v>
      </c>
      <c r="C10" s="11">
        <v>50</v>
      </c>
      <c r="D10" s="11">
        <v>4</v>
      </c>
      <c r="E10" s="11">
        <v>52</v>
      </c>
      <c r="F10" s="11">
        <v>48</v>
      </c>
      <c r="G10" s="11">
        <v>4</v>
      </c>
      <c r="H10" s="11">
        <v>2</v>
      </c>
      <c r="I10" s="11">
        <v>2</v>
      </c>
      <c r="J10" s="11">
        <v>0</v>
      </c>
      <c r="K10" s="12" t="str">
        <f t="shared" si="0"/>
        <v>OK</v>
      </c>
    </row>
    <row r="11" spans="1:11">
      <c r="A11" s="10">
        <v>1991</v>
      </c>
      <c r="B11" s="11">
        <v>51</v>
      </c>
      <c r="C11" s="11">
        <v>47</v>
      </c>
      <c r="D11" s="11">
        <v>4</v>
      </c>
      <c r="E11" s="11">
        <v>46</v>
      </c>
      <c r="F11" s="11">
        <v>42</v>
      </c>
      <c r="G11" s="11">
        <v>4</v>
      </c>
      <c r="H11" s="11">
        <v>5</v>
      </c>
      <c r="I11" s="11">
        <v>5</v>
      </c>
      <c r="J11" s="11">
        <v>0</v>
      </c>
      <c r="K11" s="12" t="str">
        <f t="shared" si="0"/>
        <v>OK</v>
      </c>
    </row>
    <row r="12" spans="1:11">
      <c r="A12" s="10">
        <v>1992</v>
      </c>
      <c r="B12" s="11">
        <v>92</v>
      </c>
      <c r="C12" s="11">
        <v>84</v>
      </c>
      <c r="D12" s="11">
        <v>8</v>
      </c>
      <c r="E12" s="11">
        <v>81</v>
      </c>
      <c r="F12" s="11">
        <v>77</v>
      </c>
      <c r="G12" s="11">
        <v>4</v>
      </c>
      <c r="H12" s="11">
        <v>11</v>
      </c>
      <c r="I12" s="11">
        <v>7</v>
      </c>
      <c r="J12" s="11">
        <v>4</v>
      </c>
      <c r="K12" s="12" t="str">
        <f t="shared" si="0"/>
        <v>OK</v>
      </c>
    </row>
    <row r="13" spans="1:11">
      <c r="A13" s="10">
        <v>1993</v>
      </c>
      <c r="B13" s="11">
        <v>87</v>
      </c>
      <c r="C13" s="11">
        <v>79</v>
      </c>
      <c r="D13" s="11">
        <v>8</v>
      </c>
      <c r="E13" s="11">
        <v>69</v>
      </c>
      <c r="F13" s="11">
        <v>62</v>
      </c>
      <c r="G13" s="11">
        <v>7</v>
      </c>
      <c r="H13" s="11">
        <v>18</v>
      </c>
      <c r="I13" s="11">
        <v>17</v>
      </c>
      <c r="J13" s="11">
        <v>1</v>
      </c>
      <c r="K13" s="12" t="str">
        <f t="shared" si="0"/>
        <v>OK</v>
      </c>
    </row>
    <row r="14" spans="1:11">
      <c r="A14" s="10">
        <v>1994</v>
      </c>
      <c r="B14" s="11">
        <v>99</v>
      </c>
      <c r="C14" s="11">
        <v>87</v>
      </c>
      <c r="D14" s="11">
        <v>12</v>
      </c>
      <c r="E14" s="11">
        <v>89</v>
      </c>
      <c r="F14" s="11">
        <v>78</v>
      </c>
      <c r="G14" s="11">
        <v>11</v>
      </c>
      <c r="H14" s="11">
        <v>10</v>
      </c>
      <c r="I14" s="11">
        <v>9</v>
      </c>
      <c r="J14" s="11">
        <v>1</v>
      </c>
      <c r="K14" s="12" t="str">
        <f t="shared" si="0"/>
        <v>OK</v>
      </c>
    </row>
    <row r="15" spans="1:11">
      <c r="A15" s="10">
        <v>1995</v>
      </c>
      <c r="B15" s="11">
        <v>114</v>
      </c>
      <c r="C15" s="11">
        <v>94</v>
      </c>
      <c r="D15" s="11">
        <v>20</v>
      </c>
      <c r="E15" s="11">
        <v>108</v>
      </c>
      <c r="F15" s="11">
        <v>89</v>
      </c>
      <c r="G15" s="11">
        <v>19</v>
      </c>
      <c r="H15" s="11">
        <v>6</v>
      </c>
      <c r="I15" s="11">
        <v>5</v>
      </c>
      <c r="J15" s="11">
        <v>1</v>
      </c>
      <c r="K15" s="12" t="str">
        <f t="shared" si="0"/>
        <v>OK</v>
      </c>
    </row>
    <row r="16" spans="1:11">
      <c r="A16" s="10">
        <v>1996</v>
      </c>
      <c r="B16" s="11">
        <v>112</v>
      </c>
      <c r="C16" s="11">
        <v>101</v>
      </c>
      <c r="D16" s="11">
        <v>11</v>
      </c>
      <c r="E16" s="11">
        <v>104</v>
      </c>
      <c r="F16" s="11">
        <v>93</v>
      </c>
      <c r="G16" s="11">
        <v>11</v>
      </c>
      <c r="H16" s="11">
        <v>8</v>
      </c>
      <c r="I16" s="11">
        <v>8</v>
      </c>
      <c r="J16" s="11">
        <v>0</v>
      </c>
      <c r="K16" s="12" t="str">
        <f t="shared" si="0"/>
        <v>OK</v>
      </c>
    </row>
    <row r="17" spans="1:11">
      <c r="A17" s="10">
        <v>1997</v>
      </c>
      <c r="B17" s="11">
        <v>144</v>
      </c>
      <c r="C17" s="11">
        <v>126</v>
      </c>
      <c r="D17" s="11">
        <v>18</v>
      </c>
      <c r="E17" s="11">
        <v>125</v>
      </c>
      <c r="F17" s="11">
        <v>107</v>
      </c>
      <c r="G17" s="11">
        <v>18</v>
      </c>
      <c r="H17" s="11">
        <v>19</v>
      </c>
      <c r="I17" s="11">
        <v>19</v>
      </c>
      <c r="J17" s="11">
        <v>0</v>
      </c>
      <c r="K17" s="12" t="str">
        <f t="shared" si="0"/>
        <v>OK</v>
      </c>
    </row>
    <row r="18" spans="1:11">
      <c r="A18" s="10">
        <v>1998</v>
      </c>
      <c r="B18" s="11">
        <v>137</v>
      </c>
      <c r="C18" s="11">
        <v>118</v>
      </c>
      <c r="D18" s="11">
        <v>19</v>
      </c>
      <c r="E18" s="11">
        <v>129</v>
      </c>
      <c r="F18" s="11">
        <v>111</v>
      </c>
      <c r="G18" s="11">
        <v>18</v>
      </c>
      <c r="H18" s="11">
        <v>8</v>
      </c>
      <c r="I18" s="11">
        <v>7</v>
      </c>
      <c r="J18" s="11">
        <v>1</v>
      </c>
      <c r="K18" s="12" t="str">
        <f t="shared" si="0"/>
        <v>OK</v>
      </c>
    </row>
    <row r="19" spans="1:11">
      <c r="A19" s="10">
        <v>1999</v>
      </c>
      <c r="B19" s="11">
        <v>199</v>
      </c>
      <c r="C19" s="11">
        <v>171</v>
      </c>
      <c r="D19" s="11">
        <v>28</v>
      </c>
      <c r="E19" s="11">
        <v>186</v>
      </c>
      <c r="F19" s="11">
        <v>160</v>
      </c>
      <c r="G19" s="11">
        <v>26</v>
      </c>
      <c r="H19" s="11">
        <v>13</v>
      </c>
      <c r="I19" s="11">
        <v>11</v>
      </c>
      <c r="J19" s="11">
        <v>2</v>
      </c>
      <c r="K19" s="12" t="str">
        <f t="shared" si="0"/>
        <v>OK</v>
      </c>
    </row>
    <row r="20" spans="1:11">
      <c r="A20" s="10">
        <v>2000</v>
      </c>
      <c r="B20" s="11">
        <v>244</v>
      </c>
      <c r="C20" s="11">
        <v>211</v>
      </c>
      <c r="D20" s="11">
        <v>33</v>
      </c>
      <c r="E20" s="11">
        <v>219</v>
      </c>
      <c r="F20" s="11">
        <v>194</v>
      </c>
      <c r="G20" s="11">
        <v>25</v>
      </c>
      <c r="H20" s="11">
        <v>25</v>
      </c>
      <c r="I20" s="11">
        <v>17</v>
      </c>
      <c r="J20" s="11">
        <v>8</v>
      </c>
      <c r="K20" s="12" t="str">
        <f t="shared" si="0"/>
        <v>OK</v>
      </c>
    </row>
    <row r="21" spans="1:11">
      <c r="A21" s="10">
        <v>2001</v>
      </c>
      <c r="B21" s="11">
        <v>383</v>
      </c>
      <c r="C21" s="11">
        <v>336</v>
      </c>
      <c r="D21" s="11">
        <v>47</v>
      </c>
      <c r="E21" s="11">
        <v>326</v>
      </c>
      <c r="F21" s="11">
        <v>292</v>
      </c>
      <c r="G21" s="11">
        <v>34</v>
      </c>
      <c r="H21" s="11">
        <v>57</v>
      </c>
      <c r="I21" s="11">
        <v>44</v>
      </c>
      <c r="J21" s="11">
        <v>13</v>
      </c>
      <c r="K21" s="12" t="str">
        <f t="shared" si="0"/>
        <v>OK</v>
      </c>
    </row>
    <row r="22" spans="1:11">
      <c r="A22" s="10">
        <v>2002</v>
      </c>
      <c r="B22" s="11">
        <v>457</v>
      </c>
      <c r="C22" s="11">
        <v>402</v>
      </c>
      <c r="D22" s="11">
        <v>55</v>
      </c>
      <c r="E22" s="11">
        <v>397</v>
      </c>
      <c r="F22" s="11">
        <v>363</v>
      </c>
      <c r="G22" s="11">
        <v>34</v>
      </c>
      <c r="H22" s="11">
        <v>60</v>
      </c>
      <c r="I22" s="11">
        <v>39</v>
      </c>
      <c r="J22" s="11">
        <v>21</v>
      </c>
      <c r="K22" s="12" t="str">
        <f t="shared" si="0"/>
        <v>OK</v>
      </c>
    </row>
    <row r="23" spans="1:11">
      <c r="A23" s="10">
        <v>2003</v>
      </c>
      <c r="B23" s="11">
        <v>587</v>
      </c>
      <c r="C23" s="11">
        <v>538</v>
      </c>
      <c r="D23" s="11">
        <v>49</v>
      </c>
      <c r="E23" s="11">
        <v>528</v>
      </c>
      <c r="F23" s="11">
        <v>497</v>
      </c>
      <c r="G23" s="11">
        <v>31</v>
      </c>
      <c r="H23" s="11">
        <v>59</v>
      </c>
      <c r="I23" s="11">
        <v>41</v>
      </c>
      <c r="J23" s="11">
        <v>18</v>
      </c>
      <c r="K23" s="12" t="str">
        <f t="shared" si="0"/>
        <v>OK</v>
      </c>
    </row>
    <row r="24" spans="1:11">
      <c r="A24" s="10">
        <v>2004</v>
      </c>
      <c r="B24" s="11">
        <v>760</v>
      </c>
      <c r="C24" s="11">
        <v>669</v>
      </c>
      <c r="D24" s="11">
        <v>91</v>
      </c>
      <c r="E24" s="11">
        <v>607</v>
      </c>
      <c r="F24" s="11">
        <v>554</v>
      </c>
      <c r="G24" s="11">
        <v>53</v>
      </c>
      <c r="H24" s="11">
        <v>153</v>
      </c>
      <c r="I24" s="11">
        <v>115</v>
      </c>
      <c r="J24" s="11">
        <v>38</v>
      </c>
      <c r="K24" s="12" t="str">
        <f t="shared" si="0"/>
        <v>OK</v>
      </c>
    </row>
    <row r="25" spans="1:11">
      <c r="A25" s="10">
        <v>2005</v>
      </c>
      <c r="B25" s="11">
        <v>734</v>
      </c>
      <c r="C25" s="11">
        <v>673</v>
      </c>
      <c r="D25" s="11">
        <v>61</v>
      </c>
      <c r="E25" s="11">
        <v>680</v>
      </c>
      <c r="F25" s="11">
        <v>640</v>
      </c>
      <c r="G25" s="11">
        <v>40</v>
      </c>
      <c r="H25" s="11">
        <v>54</v>
      </c>
      <c r="I25" s="11">
        <v>33</v>
      </c>
      <c r="J25" s="11">
        <v>21</v>
      </c>
      <c r="K25" s="12" t="str">
        <f t="shared" si="0"/>
        <v>OK</v>
      </c>
    </row>
    <row r="26" spans="1:11">
      <c r="A26" s="10">
        <v>2006</v>
      </c>
      <c r="B26" s="11">
        <v>796</v>
      </c>
      <c r="C26" s="11">
        <v>717</v>
      </c>
      <c r="D26" s="11">
        <v>79</v>
      </c>
      <c r="E26" s="11">
        <v>749</v>
      </c>
      <c r="F26" s="11">
        <v>687</v>
      </c>
      <c r="G26" s="11">
        <v>62</v>
      </c>
      <c r="H26" s="11">
        <v>47</v>
      </c>
      <c r="I26" s="11">
        <v>30</v>
      </c>
      <c r="J26" s="11">
        <v>17</v>
      </c>
      <c r="K26" s="12" t="str">
        <f t="shared" si="0"/>
        <v>OK</v>
      </c>
    </row>
    <row r="27" spans="1:11">
      <c r="A27" s="10">
        <v>2007</v>
      </c>
      <c r="B27" s="11">
        <v>828</v>
      </c>
      <c r="C27" s="11">
        <v>759</v>
      </c>
      <c r="D27" s="11">
        <v>69</v>
      </c>
      <c r="E27" s="11">
        <v>740</v>
      </c>
      <c r="F27" s="11">
        <v>698</v>
      </c>
      <c r="G27" s="11">
        <v>42</v>
      </c>
      <c r="H27" s="11">
        <v>88</v>
      </c>
      <c r="I27" s="11">
        <v>61</v>
      </c>
      <c r="J27" s="11">
        <v>27</v>
      </c>
      <c r="K27" s="12" t="str">
        <f t="shared" si="0"/>
        <v>OK</v>
      </c>
    </row>
    <row r="28" spans="1:11">
      <c r="A28" s="10">
        <v>2008</v>
      </c>
      <c r="B28" s="11">
        <v>900</v>
      </c>
      <c r="C28" s="11">
        <v>814</v>
      </c>
      <c r="D28" s="11">
        <v>86</v>
      </c>
      <c r="E28" s="11">
        <v>797</v>
      </c>
      <c r="F28" s="11">
        <v>743</v>
      </c>
      <c r="G28" s="11">
        <v>54</v>
      </c>
      <c r="H28" s="11">
        <v>103</v>
      </c>
      <c r="I28" s="11">
        <v>71</v>
      </c>
      <c r="J28" s="11">
        <v>32</v>
      </c>
      <c r="K28" s="12" t="str">
        <f t="shared" si="0"/>
        <v>OK</v>
      </c>
    </row>
    <row r="29" spans="1:11">
      <c r="A29" s="10">
        <v>2009</v>
      </c>
      <c r="B29" s="11">
        <v>839</v>
      </c>
      <c r="C29" s="11">
        <v>759</v>
      </c>
      <c r="D29" s="11">
        <v>80</v>
      </c>
      <c r="E29" s="11">
        <v>768</v>
      </c>
      <c r="F29" s="11">
        <v>710</v>
      </c>
      <c r="G29" s="11">
        <v>58</v>
      </c>
      <c r="H29" s="11">
        <v>71</v>
      </c>
      <c r="I29" s="11">
        <v>49</v>
      </c>
      <c r="J29" s="11">
        <v>22</v>
      </c>
      <c r="K29" s="12" t="str">
        <f t="shared" si="0"/>
        <v>OK</v>
      </c>
    </row>
    <row r="30" spans="1:11">
      <c r="A30" s="10">
        <v>2010</v>
      </c>
      <c r="B30" s="11">
        <v>837</v>
      </c>
      <c r="C30" s="11">
        <v>762</v>
      </c>
      <c r="D30" s="11">
        <v>75</v>
      </c>
      <c r="E30" s="11">
        <v>773</v>
      </c>
      <c r="F30" s="11">
        <v>723</v>
      </c>
      <c r="G30" s="11">
        <v>50</v>
      </c>
      <c r="H30" s="11">
        <v>64</v>
      </c>
      <c r="I30" s="11">
        <v>39</v>
      </c>
      <c r="J30" s="11">
        <v>25</v>
      </c>
      <c r="K30" s="12" t="str">
        <f t="shared" si="0"/>
        <v>OK</v>
      </c>
    </row>
    <row r="31" spans="1:11">
      <c r="A31" s="10">
        <v>2011</v>
      </c>
      <c r="B31" s="11">
        <v>959</v>
      </c>
      <c r="C31" s="11">
        <v>877</v>
      </c>
      <c r="D31" s="11">
        <v>82</v>
      </c>
      <c r="E31" s="11">
        <v>888</v>
      </c>
      <c r="F31" s="11">
        <v>827</v>
      </c>
      <c r="G31" s="11">
        <v>61</v>
      </c>
      <c r="H31" s="11">
        <v>71</v>
      </c>
      <c r="I31" s="11">
        <v>50</v>
      </c>
      <c r="J31" s="11">
        <v>21</v>
      </c>
      <c r="K31" s="12" t="str">
        <f t="shared" si="0"/>
        <v>OK</v>
      </c>
    </row>
    <row r="32" spans="1:11">
      <c r="A32" s="10">
        <v>2012</v>
      </c>
      <c r="B32" s="11">
        <v>951</v>
      </c>
      <c r="C32" s="11">
        <v>862</v>
      </c>
      <c r="D32" s="11">
        <v>89</v>
      </c>
      <c r="E32" s="11">
        <v>866</v>
      </c>
      <c r="F32" s="11">
        <v>806</v>
      </c>
      <c r="G32" s="11">
        <v>60</v>
      </c>
      <c r="H32" s="11">
        <v>85</v>
      </c>
      <c r="I32" s="11">
        <v>56</v>
      </c>
      <c r="J32" s="11">
        <v>29</v>
      </c>
      <c r="K32" s="12" t="str">
        <f t="shared" si="0"/>
        <v>OK</v>
      </c>
    </row>
    <row r="33" spans="1:11">
      <c r="A33" s="10">
        <v>2013</v>
      </c>
      <c r="B33" s="11">
        <v>1112</v>
      </c>
      <c r="C33" s="11">
        <v>1014</v>
      </c>
      <c r="D33" s="11">
        <v>98</v>
      </c>
      <c r="E33" s="11">
        <v>1011</v>
      </c>
      <c r="F33" s="11">
        <v>944</v>
      </c>
      <c r="G33" s="11">
        <v>67</v>
      </c>
      <c r="H33" s="11">
        <v>101</v>
      </c>
      <c r="I33" s="11">
        <v>70</v>
      </c>
      <c r="J33" s="11">
        <v>31</v>
      </c>
      <c r="K33" s="12" t="str">
        <f t="shared" si="0"/>
        <v>OK</v>
      </c>
    </row>
    <row r="34" spans="1:11">
      <c r="A34" s="10">
        <v>2014</v>
      </c>
      <c r="B34" s="11">
        <v>1191</v>
      </c>
      <c r="C34" s="11">
        <v>1100</v>
      </c>
      <c r="D34" s="11">
        <v>91</v>
      </c>
      <c r="E34" s="11">
        <v>1081</v>
      </c>
      <c r="F34" s="11">
        <v>1016</v>
      </c>
      <c r="G34" s="11">
        <v>65</v>
      </c>
      <c r="H34" s="11">
        <v>110</v>
      </c>
      <c r="I34" s="11">
        <v>84</v>
      </c>
      <c r="J34" s="11">
        <v>26</v>
      </c>
      <c r="K34" s="12" t="str">
        <f t="shared" si="0"/>
        <v>OK</v>
      </c>
    </row>
    <row r="35" spans="1:11">
      <c r="A35" s="10">
        <v>2015</v>
      </c>
      <c r="B35" s="11">
        <v>1151</v>
      </c>
      <c r="C35" s="11">
        <v>1079</v>
      </c>
      <c r="D35" s="11">
        <v>72</v>
      </c>
      <c r="E35" s="11">
        <v>1018</v>
      </c>
      <c r="F35" s="11">
        <v>974</v>
      </c>
      <c r="G35" s="11">
        <v>44</v>
      </c>
      <c r="H35" s="11">
        <v>133</v>
      </c>
      <c r="I35" s="11">
        <v>105</v>
      </c>
      <c r="J35" s="11">
        <v>28</v>
      </c>
      <c r="K35" s="12" t="str">
        <f t="shared" si="0"/>
        <v>OK</v>
      </c>
    </row>
    <row r="36" spans="1:11">
      <c r="A36" s="10">
        <v>2016</v>
      </c>
      <c r="B36" s="11">
        <v>1196</v>
      </c>
      <c r="C36" s="11">
        <v>1102</v>
      </c>
      <c r="D36" s="11">
        <v>94</v>
      </c>
      <c r="E36" s="11">
        <v>1059</v>
      </c>
      <c r="F36" s="11">
        <v>999</v>
      </c>
      <c r="G36" s="11">
        <v>60</v>
      </c>
      <c r="H36" s="11">
        <v>137</v>
      </c>
      <c r="I36" s="11">
        <v>103</v>
      </c>
      <c r="J36" s="11">
        <v>34</v>
      </c>
      <c r="K36" s="12" t="str">
        <f t="shared" si="0"/>
        <v>OK</v>
      </c>
    </row>
    <row r="37" spans="1:11">
      <c r="A37" s="10">
        <v>2017</v>
      </c>
      <c r="B37" s="11">
        <v>1190</v>
      </c>
      <c r="C37" s="11">
        <v>1088</v>
      </c>
      <c r="D37" s="11">
        <v>102</v>
      </c>
      <c r="E37" s="11">
        <v>1007</v>
      </c>
      <c r="F37" s="11">
        <v>957</v>
      </c>
      <c r="G37" s="11">
        <v>50</v>
      </c>
      <c r="H37" s="11">
        <v>183</v>
      </c>
      <c r="I37" s="11">
        <v>131</v>
      </c>
      <c r="J37" s="11">
        <v>52</v>
      </c>
      <c r="K37" s="12" t="str">
        <f t="shared" si="0"/>
        <v>OK</v>
      </c>
    </row>
    <row r="38" spans="1:11">
      <c r="A38" s="10">
        <v>2018</v>
      </c>
      <c r="B38" s="11">
        <v>1206</v>
      </c>
      <c r="C38" s="11">
        <v>1100</v>
      </c>
      <c r="D38" s="11">
        <v>106</v>
      </c>
      <c r="E38" s="11">
        <v>988</v>
      </c>
      <c r="F38" s="11">
        <v>944</v>
      </c>
      <c r="G38" s="11">
        <v>44</v>
      </c>
      <c r="H38" s="11">
        <v>218</v>
      </c>
      <c r="I38" s="11">
        <v>156</v>
      </c>
      <c r="J38" s="11">
        <v>62</v>
      </c>
      <c r="K38" s="12" t="str">
        <f t="shared" si="0"/>
        <v>OK</v>
      </c>
    </row>
    <row r="39" spans="1:11">
      <c r="A39" s="10">
        <v>2019</v>
      </c>
      <c r="B39" s="11">
        <v>1223</v>
      </c>
      <c r="C39" s="11">
        <v>1112</v>
      </c>
      <c r="D39" s="11">
        <v>111</v>
      </c>
      <c r="E39" s="11">
        <v>1006</v>
      </c>
      <c r="F39" s="11">
        <v>953</v>
      </c>
      <c r="G39" s="11">
        <v>53</v>
      </c>
      <c r="H39" s="11">
        <v>217</v>
      </c>
      <c r="I39" s="11">
        <v>159</v>
      </c>
      <c r="J39" s="11">
        <v>58</v>
      </c>
      <c r="K39" s="12" t="str">
        <f t="shared" si="0"/>
        <v>OK</v>
      </c>
    </row>
    <row r="40" spans="1:11">
      <c r="A40" s="10">
        <v>2020</v>
      </c>
      <c r="B40" s="11">
        <v>1013</v>
      </c>
      <c r="C40" s="11">
        <v>932</v>
      </c>
      <c r="D40" s="11">
        <v>81</v>
      </c>
      <c r="E40" s="11">
        <v>818</v>
      </c>
      <c r="F40" s="11">
        <v>789</v>
      </c>
      <c r="G40" s="11">
        <v>29</v>
      </c>
      <c r="H40" s="11">
        <v>195</v>
      </c>
      <c r="I40" s="11">
        <v>143</v>
      </c>
      <c r="J40" s="11">
        <v>52</v>
      </c>
      <c r="K40" s="12" t="str">
        <f t="shared" si="0"/>
        <v>OK</v>
      </c>
    </row>
    <row r="41" spans="1:11">
      <c r="A41" s="10">
        <v>2021</v>
      </c>
      <c r="B41" s="11">
        <v>973</v>
      </c>
      <c r="C41" s="11">
        <v>895</v>
      </c>
      <c r="D41" s="11">
        <v>78</v>
      </c>
      <c r="E41" s="11">
        <v>770</v>
      </c>
      <c r="F41" s="11">
        <v>739</v>
      </c>
      <c r="G41" s="11">
        <v>31</v>
      </c>
      <c r="H41" s="11">
        <v>203</v>
      </c>
      <c r="I41" s="11">
        <v>156</v>
      </c>
      <c r="J41" s="11">
        <v>47</v>
      </c>
      <c r="K41" s="12" t="str">
        <f t="shared" si="0"/>
        <v>OK</v>
      </c>
    </row>
    <row r="42" spans="1:11">
      <c r="A42" s="10">
        <v>2022</v>
      </c>
      <c r="B42" s="11">
        <v>1065</v>
      </c>
      <c r="C42" s="11">
        <v>983</v>
      </c>
      <c r="D42" s="11">
        <v>82</v>
      </c>
      <c r="E42" s="11">
        <v>825</v>
      </c>
      <c r="F42" s="11">
        <v>790</v>
      </c>
      <c r="G42" s="11">
        <v>35</v>
      </c>
      <c r="H42" s="11">
        <v>240</v>
      </c>
      <c r="I42" s="11">
        <v>193</v>
      </c>
      <c r="J42" s="11">
        <v>47</v>
      </c>
      <c r="K42" s="12" t="str">
        <f t="shared" si="0"/>
        <v>OK</v>
      </c>
    </row>
    <row r="43" spans="1:11">
      <c r="A43" s="10">
        <v>2023</v>
      </c>
      <c r="B43" s="11">
        <v>1005</v>
      </c>
      <c r="C43" s="11">
        <v>903</v>
      </c>
      <c r="D43" s="11">
        <v>102</v>
      </c>
      <c r="E43" s="11">
        <v>750</v>
      </c>
      <c r="F43" s="11">
        <v>718</v>
      </c>
      <c r="G43" s="11">
        <v>32</v>
      </c>
      <c r="H43" s="11">
        <v>255</v>
      </c>
      <c r="I43" s="11">
        <v>185</v>
      </c>
      <c r="J43" s="11">
        <v>70</v>
      </c>
      <c r="K43" s="12" t="str">
        <f t="shared" si="0"/>
        <v>OK</v>
      </c>
    </row>
    <row r="44" spans="1:11">
      <c r="A44" s="10">
        <v>2024</v>
      </c>
      <c r="B44" s="11">
        <v>975</v>
      </c>
      <c r="C44" s="11">
        <v>865</v>
      </c>
      <c r="D44" s="11">
        <v>110</v>
      </c>
      <c r="E44" s="11">
        <v>715</v>
      </c>
      <c r="F44" s="11">
        <v>683</v>
      </c>
      <c r="G44" s="11">
        <v>32</v>
      </c>
      <c r="H44" s="11">
        <v>260</v>
      </c>
      <c r="I44" s="11">
        <v>182</v>
      </c>
      <c r="J44" s="11">
        <v>78</v>
      </c>
      <c r="K44" s="12" t="str">
        <f t="shared" si="0"/>
        <v>OK</v>
      </c>
    </row>
    <row r="45" spans="1:11">
      <c r="A45" s="10">
        <v>2025</v>
      </c>
      <c r="B45" s="11">
        <v>927</v>
      </c>
      <c r="C45" s="11">
        <v>822</v>
      </c>
      <c r="D45" s="11">
        <v>105</v>
      </c>
      <c r="E45" s="11">
        <v>659</v>
      </c>
      <c r="F45" s="11">
        <v>638</v>
      </c>
      <c r="G45" s="11">
        <v>21</v>
      </c>
      <c r="H45" s="11">
        <v>268</v>
      </c>
      <c r="I45" s="11">
        <v>184</v>
      </c>
      <c r="J45" s="11">
        <v>84</v>
      </c>
      <c r="K45" s="12" t="str">
        <f t="shared" si="0"/>
        <v>OK</v>
      </c>
    </row>
    <row r="47" spans="1:11">
      <c r="A47" s="13" t="s">
        <v>10</v>
      </c>
    </row>
  </sheetData>
  <mergeCells count="6">
    <mergeCell ref="K3:K4"/>
    <mergeCell ref="A1:J1"/>
    <mergeCell ref="A3:A4"/>
    <mergeCell ref="B3:D3"/>
    <mergeCell ref="E3:G3"/>
    <mergeCell ref="H3:J3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연도별성별HIV감염현황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강재서(통계학과)</cp:lastModifiedBy>
  <cp:revision>0</cp:revision>
  <dcterms:created xsi:type="dcterms:W3CDTF">2026-09-07T04:50:43Z</dcterms:created>
  <dcterms:modified xsi:type="dcterms:W3CDTF">2026-09-07T04:55:36Z</dcterms:modified>
  <dc:language>en-US</dc:language>
</cp:coreProperties>
</file>